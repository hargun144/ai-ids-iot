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Results" sheetId="1" state="visible" r:id="rId3"/>
    <sheet name="DL_Results" sheetId="2" state="visible" r:id="rId4"/>
    <sheet name="Master_Comparison" sheetId="3" state="visible" r:id="rId5"/>
    <sheet name="ML_Multiclass_Results" sheetId="4" state="visible" r:id="rId6"/>
    <sheet name="Per_Class_FPR_FNR_ROCAUC" sheetId="5" state="visible" r:id="rId7"/>
    <sheet name="UNSW_5Class_Supplementary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<sst xmlns="http://schemas.openxmlformats.org/spreadsheetml/2006/main" count="242" uniqueCount="121">
  <si>
    <t xml:space="preserve">Classical ML Results — Track 2 (Ritika Maan)</t>
  </si>
  <si>
    <t xml:space="preserve">AI-Based Intrusion Detection for IoT — Week 5-7 (Grid Search, Cross-Validation, Full Metrics)</t>
  </si>
  <si>
    <t xml:space="preserve">Dataset</t>
  </si>
  <si>
    <t xml:space="preserve">Model</t>
  </si>
  <si>
    <t xml:space="preserve">Best Params</t>
  </si>
  <si>
    <t xml:space="preserve">CV Best F1</t>
  </si>
  <si>
    <t xml:space="preserve">Val Accuracy</t>
  </si>
  <si>
    <t xml:space="preserve">Val Precision</t>
  </si>
  <si>
    <t xml:space="preserve">Val Recall</t>
  </si>
  <si>
    <t xml:space="preserve">Val F1</t>
  </si>
  <si>
    <t xml:space="preserve">Val ROC-AUC</t>
  </si>
  <si>
    <t xml:space="preserve">FPR</t>
  </si>
  <si>
    <t xml:space="preserve">FNR</t>
  </si>
  <si>
    <t xml:space="preserve">Latency (ms/sample)</t>
  </si>
  <si>
    <t xml:space="preserve">Train Time (s)</t>
  </si>
  <si>
    <t xml:space="preserve">unsw</t>
  </si>
  <si>
    <t xml:space="preserve">logistic_regression</t>
  </si>
  <si>
    <t xml:space="preserve">C=10, solver=lbfgs</t>
  </si>
  <si>
    <t xml:space="preserve">decision_tree</t>
  </si>
  <si>
    <t xml:space="preserve">max_depth=16, min_samples_split=2</t>
  </si>
  <si>
    <t xml:space="preserve">random_forest</t>
  </si>
  <si>
    <t xml:space="preserve">max_depth=None, min_samples_split=2, n_estimators=200</t>
  </si>
  <si>
    <t xml:space="preserve">xgboost</t>
  </si>
  <si>
    <t xml:space="preserve">learning_rate=0.2, max_depth=8, n_estimators=200</t>
  </si>
  <si>
    <t xml:space="preserve">ton</t>
  </si>
  <si>
    <t xml:space="preserve">max_depth=20, min_samples_split=2</t>
  </si>
  <si>
    <t xml:space="preserve">max_depth=20, min_samples_split=2, n_estimators=100</t>
  </si>
  <si>
    <t xml:space="preserve">nbaiot</t>
  </si>
  <si>
    <t xml:space="preserve">C=0.1, solver=lbfgs</t>
  </si>
  <si>
    <t xml:space="preserve">max_depth=12, min_samples_split=5</t>
  </si>
  <si>
    <t xml:space="preserve">learning_rate=0.1, max_depth=6, n_estimators=200</t>
  </si>
  <si>
    <t xml:space="preserve">Deep Learning Results — Track 3 (Priya Parkash)</t>
  </si>
  <si>
    <t xml:space="preserve">AI-Based Intrusion Detection for IoT — Week 5-8 (CV, Full Metrics, SHAP, TFLite, Endpoint)</t>
  </si>
  <si>
    <t xml:space="preserve">Mean CV Accuracy</t>
  </si>
  <si>
    <t xml:space="preserve">Std Dev</t>
  </si>
  <si>
    <t xml:space="preserve">F1</t>
  </si>
  <si>
    <t xml:space="preserve">ROC-AUC</t>
  </si>
  <si>
    <t xml:space="preserve">LSTM</t>
  </si>
  <si>
    <t xml:space="preserve">1D-CNN</t>
  </si>
  <si>
    <t xml:space="preserve">CNN-LSTM</t>
  </si>
  <si>
    <t xml:space="preserve">Notes:</t>
  </si>
  <si>
    <t xml:space="preserve">- N-BaIoT near-perfect scores verified against Logistic Regression baseline (also 100%) — consistent with published literature, not a leakage artifact.</t>
  </si>
  <si>
    <t xml:space="preserve">- TON-IoT 1D-CNN showed the only real instability (one fold dropped to 90.9% accuracy) — architecture lacks sequence memory.</t>
  </si>
  <si>
    <t xml:space="preserve">- 1D-CNN on UNSW-NB15 selected as best overall model (F1 0.9999 vs XGBoost's 0.9777) — the only dataset difficult enough to separate ML vs DL performance.</t>
  </si>
  <si>
    <t xml:space="preserve">- TFLite quantization (float16 / int8) on selected model: 83.5% / 89.0% size reduction, faster simulated latency, no accuracy loss.</t>
  </si>
  <si>
    <t xml:space="preserve">- Edge deployment simulated in Colab, not tested on physical hardware (Raspberry Pi) — noted scope limitation.</t>
  </si>
  <si>
    <t xml:space="preserve">Master Results Comparison — Week 7 (Joint)</t>
  </si>
  <si>
    <t xml:space="preserve">Best-performing model per dataset, Classical ML (Track 2) vs Deep Learning (Track 3)</t>
  </si>
  <si>
    <t xml:space="preserve">Best ML Model</t>
  </si>
  <si>
    <t xml:space="preserve">Best ML F1</t>
  </si>
  <si>
    <t xml:space="preserve">Best DL Model</t>
  </si>
  <si>
    <t xml:space="preserve">Best DL F1</t>
  </si>
  <si>
    <t xml:space="preserve">Overall Winner</t>
  </si>
  <si>
    <t xml:space="preserve">UNSW-NB15</t>
  </si>
  <si>
    <t xml:space="preserve">TON-IoT</t>
  </si>
  <si>
    <t xml:space="preserve">N-BaIoT</t>
  </si>
  <si>
    <t xml:space="preserve">Note: DL metrics (Priya, Track 3) use group-aware held-out validation; ML metrics (Ritika, Track 2) use the project's standard val split — both report the same metric definitions (F1, ROC-AUC, FPR, FNR) so are directly comparable.</t>
  </si>
  <si>
    <t xml:space="preserve">Classical ML — Multi-class Results (Ritika Maan)</t>
  </si>
  <si>
    <t xml:space="preserve">Grid Search + CV, macro-averaged metrics, per dataset/model</t>
  </si>
  <si>
    <t xml:space="preserve">Val Precision (macro)</t>
  </si>
  <si>
    <t xml:space="preserve">Val Recall (macro)</t>
  </si>
  <si>
    <t xml:space="preserve">Val F1 (macro)</t>
  </si>
  <si>
    <t xml:space="preserve">CV Mean F1 (macro)</t>
  </si>
  <si>
    <t xml:space="preserve">CV Std F1</t>
  </si>
  <si>
    <t xml:space="preserve">max_depth=20, n_estimators=100</t>
  </si>
  <si>
    <t xml:space="preserve">learning_rate=0.1, max_depth=8, n_estimators=200</t>
  </si>
  <si>
    <t xml:space="preserve">Per-Class FPR / FNR / ROC-AUC — Multi-class (Ritika Maan)</t>
  </si>
  <si>
    <t xml:space="preserve">Best model per dataset — class-level detail for rare-class evaluation</t>
  </si>
  <si>
    <t xml:space="preserve">Class</t>
  </si>
  <si>
    <t xml:space="preserve">Support (val)</t>
  </si>
  <si>
    <t xml:space="preserve">Analysis</t>
  </si>
  <si>
    <t xml:space="preserve">Backdoor</t>
  </si>
  <si>
    <t xml:space="preserve">DoS</t>
  </si>
  <si>
    <t xml:space="preserve">Exploits</t>
  </si>
  <si>
    <t xml:space="preserve">Fuzzers</t>
  </si>
  <si>
    <t xml:space="preserve">Generic</t>
  </si>
  <si>
    <t xml:space="preserve">Normal</t>
  </si>
  <si>
    <t xml:space="preserve">Reconnaissance</t>
  </si>
  <si>
    <t xml:space="preserve">Shellcode</t>
  </si>
  <si>
    <t xml:space="preserve">Worms</t>
  </si>
  <si>
    <t xml:space="preserve">backdoor</t>
  </si>
  <si>
    <t xml:space="preserve">ddos</t>
  </si>
  <si>
    <t xml:space="preserve">dos</t>
  </si>
  <si>
    <t xml:space="preserve">injection</t>
  </si>
  <si>
    <t xml:space="preserve">mitm</t>
  </si>
  <si>
    <t xml:space="preserve">normal</t>
  </si>
  <si>
    <t xml:space="preserve">password</t>
  </si>
  <si>
    <t xml:space="preserve">ransomware</t>
  </si>
  <si>
    <t xml:space="preserve">scanning</t>
  </si>
  <si>
    <t xml:space="preserve">xss</t>
  </si>
  <si>
    <t xml:space="preserve">benign</t>
  </si>
  <si>
    <t xml:space="preserve">gafgyt.combo</t>
  </si>
  <si>
    <t xml:space="preserve">mirai.udpplain</t>
  </si>
  <si>
    <t xml:space="preserve">gafgyt.junk</t>
  </si>
  <si>
    <t xml:space="preserve">gafgyt.scan</t>
  </si>
  <si>
    <t xml:space="preserve">gafgyt.tcp</t>
  </si>
  <si>
    <t xml:space="preserve">gafgyt.udp</t>
  </si>
  <si>
    <t xml:space="preserve">mirai.ack</t>
  </si>
  <si>
    <t xml:space="preserve">mirai.scan</t>
  </si>
  <si>
    <t xml:space="preserve">mirai.syn</t>
  </si>
  <si>
    <t xml:space="preserve">mirai.udp</t>
  </si>
  <si>
    <t xml:space="preserve">Highlighted: gafgyt.tcp / gafgyt.udp show anomalous FNR/FPR (0.999 / 0.1278) vs near-perfect scores elsewhere in N-BaIoT — model appears to systematically confuse these two related flood-attack subtypes with each other. Support counts (67,500 each) confirm this reflects a genuine model behavior, not a data/split error. Worth investigating as a specific finding rather than a general limitation.</t>
  </si>
  <si>
    <t xml:space="preserve">UNSW-NB15 — 5-Class Supplementary Analysis (XGBoost)</t>
  </si>
  <si>
    <t xml:space="preserve">Rare classes grouped into 'Other' for a more stable macro view</t>
  </si>
  <si>
    <t xml:space="preserve">Precision</t>
  </si>
  <si>
    <t xml:space="preserve">Recall</t>
  </si>
  <si>
    <t xml:space="preserve">F1-score</t>
  </si>
  <si>
    <t xml:space="preserve">Support</t>
  </si>
  <si>
    <t xml:space="preserve">Other (Analysis+Backdoor+DoS+Recon+Shellcode+Worms)</t>
  </si>
  <si>
    <t xml:space="preserve">Overall accuracy: 0.98  |  Macro avg F1: 0.79  |  Weighted avg F1: 0.98</t>
  </si>
  <si>
    <t xml:space="preserve">XGBoost 5-fold CV scores (5-class grouping): 0.8426, 0.8462, 0.8436, 0.8448, 0.8420 (mean ≈ 0.8438)</t>
  </si>
  <si>
    <t xml:space="preserve">Notes — Multi-class Evaluation</t>
  </si>
  <si>
    <t xml:space="preserve">Caveats and observations for the paper</t>
  </si>
  <si>
    <t xml:space="preserve">N-BaIoT near-perfect binary/multiclass scores</t>
  </si>
  <si>
    <t xml:space="preserve">Verified genuine via two independent methods (Logistic Regression baseline cross-check + consistency with published literature on this dataset) — not a data leakage artifact. See DL_Results sheet for the binary-task verification.</t>
  </si>
  <si>
    <t xml:space="preserve">Tiny-support classes across all three datasets</t>
  </si>
  <si>
    <t xml:space="preserve">UNSW-NB15 Worms (26 val samples), TON-IoT mitm (156 val samples) reflect genuine rarity in the source data and are correctly proportioned by the stratified split. Per-class precision/recall/F1/ROC-AUC for these classes should be interpreted with caution given limited validation support — noted as a dataset limitation in the report, not a pipeline error.</t>
  </si>
  <si>
    <t xml:space="preserve">N-BaIoT gafgyt.tcp / gafgyt.udp confusion</t>
  </si>
  <si>
    <t xml:space="preserve">Unlike other tiny-support cases, this pair has large support (67,500 each) but the model shows severe FNR (0.999) for gafgyt.tcp and elevated FPR (0.1278) for gafgyt.udp, while every other N-BaIoT class scores near-perfect. This indicates the model is specifically confusing these two related flood-attack subtypes with each other, not a general weakness — worth its own discussion point in the paper rather than being folded into the general tiny-support caveat.</t>
  </si>
  <si>
    <t xml:space="preserve">UNSW-NB15 5-class supplementary analysis</t>
  </si>
  <si>
    <t xml:space="preserve">Rare classes (Analysis, Backdoor, DoS, Reconnaissance, Shellcode, Worms) grouped into a single 'Other' category to provide a more statistically stable macro view alongside the full 10-class breakdown. Both are reported for transparency.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</si>
</sst>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000"/>
    <numFmt numFmtId="167" formatCode="0.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9C45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45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5" t="n">
        <v>0.8807388509</v>
      </c>
      <c r="E5" s="5" t="n">
        <v>0.8815384615</v>
      </c>
      <c r="F5" s="5" t="n">
        <v>0.891447851</v>
      </c>
      <c r="G5" s="5" t="n">
        <v>0.8936764706</v>
      </c>
      <c r="H5" s="5" t="n">
        <v>0.8925607696</v>
      </c>
      <c r="I5" s="5" t="n">
        <v>0.9591792925</v>
      </c>
      <c r="J5" s="5" t="n">
        <v>0.1333333333</v>
      </c>
      <c r="K5" s="5" t="n">
        <v>0.1063235294</v>
      </c>
      <c r="L5" s="5" t="n">
        <v>0.0006548113</v>
      </c>
      <c r="M5" s="5" t="n">
        <v>14.5</v>
      </c>
    </row>
    <row r="6" customFormat="false" ht="15" hidden="false" customHeight="false" outlineLevel="0" collapsed="false">
      <c r="A6" s="4" t="s">
        <v>15</v>
      </c>
      <c r="B6" s="4" t="s">
        <v>18</v>
      </c>
      <c r="C6" s="4" t="s">
        <v>19</v>
      </c>
      <c r="D6" s="5" t="n">
        <v>0.9679189099</v>
      </c>
      <c r="E6" s="5" t="n">
        <v>0.9654251012</v>
      </c>
      <c r="F6" s="5" t="n">
        <v>0.9758100642</v>
      </c>
      <c r="G6" s="5" t="n">
        <v>0.9610294118</v>
      </c>
      <c r="H6" s="5" t="n">
        <v>0.96836334</v>
      </c>
      <c r="I6" s="5" t="n">
        <v>0.976361089</v>
      </c>
      <c r="J6" s="5" t="n">
        <v>0.0291891892</v>
      </c>
      <c r="K6" s="5" t="n">
        <v>0.0389705882</v>
      </c>
      <c r="L6" s="5" t="n">
        <v>0.000226044</v>
      </c>
      <c r="M6" s="5" t="n">
        <v>30.4</v>
      </c>
    </row>
    <row r="7" customFormat="false" ht="15" hidden="false" customHeight="false" outlineLevel="0" collapsed="false">
      <c r="A7" s="4" t="s">
        <v>15</v>
      </c>
      <c r="B7" s="4" t="s">
        <v>20</v>
      </c>
      <c r="C7" s="4" t="s">
        <v>21</v>
      </c>
      <c r="D7" s="5" t="n">
        <v>0.9767969439</v>
      </c>
      <c r="E7" s="5" t="n">
        <v>0.9738461538</v>
      </c>
      <c r="F7" s="5" t="n">
        <v>0.9815613383</v>
      </c>
      <c r="G7" s="5" t="n">
        <v>0.9707352941</v>
      </c>
      <c r="H7" s="5" t="n">
        <v>0.9761182994</v>
      </c>
      <c r="I7" s="5" t="n">
        <v>0.9964228272</v>
      </c>
      <c r="J7" s="5" t="n">
        <v>0.0223423423</v>
      </c>
      <c r="K7" s="5" t="n">
        <v>0.0292647059</v>
      </c>
      <c r="L7" s="5" t="n">
        <v>0.0300621504</v>
      </c>
      <c r="M7" s="5" t="n">
        <v>747.5</v>
      </c>
    </row>
    <row r="8" customFormat="false" ht="15" hidden="false" customHeight="false" outlineLevel="0" collapsed="false">
      <c r="A8" s="4" t="s">
        <v>15</v>
      </c>
      <c r="B8" s="4" t="s">
        <v>22</v>
      </c>
      <c r="C8" s="4" t="s">
        <v>23</v>
      </c>
      <c r="D8" s="5" t="n">
        <v>0.9788884209</v>
      </c>
      <c r="E8" s="5" t="n">
        <v>0.9756275304</v>
      </c>
      <c r="F8" s="5" t="n">
        <v>0.9836285161</v>
      </c>
      <c r="G8" s="5" t="n">
        <v>0.9719117647</v>
      </c>
      <c r="H8" s="5" t="n">
        <v>0.9777350396</v>
      </c>
      <c r="I8" s="5" t="n">
        <v>0.9970728007</v>
      </c>
      <c r="J8" s="5" t="n">
        <v>0.0198198198</v>
      </c>
      <c r="K8" s="5" t="n">
        <v>0.0280882353</v>
      </c>
      <c r="L8" s="5" t="n">
        <v>0.0049085077</v>
      </c>
      <c r="M8" s="5" t="n">
        <v>138.4</v>
      </c>
    </row>
    <row r="9" customFormat="false" ht="15" hidden="false" customHeight="false" outlineLevel="0" collapsed="false">
      <c r="A9" s="4" t="s">
        <v>24</v>
      </c>
      <c r="B9" s="4" t="s">
        <v>16</v>
      </c>
      <c r="C9" s="4" t="s">
        <v>17</v>
      </c>
      <c r="D9" s="5" t="n">
        <v>0.8880836569</v>
      </c>
      <c r="E9" s="5" t="n">
        <v>0.8685580427</v>
      </c>
      <c r="F9" s="5" t="n">
        <v>0.7503489531</v>
      </c>
      <c r="G9" s="5" t="n">
        <v>0.934674615</v>
      </c>
      <c r="H9" s="5" t="n">
        <v>0.8324300409</v>
      </c>
      <c r="I9" s="5" t="n">
        <v>0.9461355867</v>
      </c>
      <c r="J9" s="5" t="n">
        <v>0.1669333333</v>
      </c>
      <c r="K9" s="5" t="n">
        <v>0.065325385</v>
      </c>
      <c r="L9" s="5" t="n">
        <v>0.0002332232</v>
      </c>
      <c r="M9" s="5" t="n">
        <v>140.6</v>
      </c>
    </row>
    <row r="10" customFormat="false" ht="15" hidden="false" customHeight="false" outlineLevel="0" collapsed="false">
      <c r="A10" s="4" t="s">
        <v>24</v>
      </c>
      <c r="B10" s="4" t="s">
        <v>18</v>
      </c>
      <c r="C10" s="4" t="s">
        <v>25</v>
      </c>
      <c r="D10" s="5" t="n">
        <v>0.9986935878</v>
      </c>
      <c r="E10" s="5" t="n">
        <v>0.9984093933</v>
      </c>
      <c r="F10" s="5" t="n">
        <v>0.996489924</v>
      </c>
      <c r="G10" s="5" t="n">
        <v>0.9989650604</v>
      </c>
      <c r="H10" s="5" t="n">
        <v>0.9977259572</v>
      </c>
      <c r="I10" s="5" t="n">
        <v>0.9990106939</v>
      </c>
      <c r="J10" s="5" t="n">
        <v>0.0018888889</v>
      </c>
      <c r="K10" s="5" t="n">
        <v>0.0010349396</v>
      </c>
      <c r="L10" s="5" t="n">
        <v>0.0001363037</v>
      </c>
      <c r="M10" s="5" t="n">
        <v>160.8</v>
      </c>
    </row>
    <row r="11" customFormat="false" ht="15" hidden="false" customHeight="false" outlineLevel="0" collapsed="false">
      <c r="A11" s="4" t="s">
        <v>24</v>
      </c>
      <c r="B11" s="4" t="s">
        <v>20</v>
      </c>
      <c r="C11" s="4" t="s">
        <v>26</v>
      </c>
      <c r="D11" s="5" t="n">
        <v>0.9992692406</v>
      </c>
      <c r="E11" s="5" t="n">
        <v>0.9991179363</v>
      </c>
      <c r="F11" s="5" t="n">
        <v>0.9980981519</v>
      </c>
      <c r="G11" s="5" t="n">
        <v>0.9993790363</v>
      </c>
      <c r="H11" s="5" t="n">
        <v>0.9987381834</v>
      </c>
      <c r="I11" s="5" t="n">
        <v>0.9999850398</v>
      </c>
      <c r="J11" s="5" t="n">
        <v>0.0010222222</v>
      </c>
      <c r="K11" s="5" t="n">
        <v>0.0006209637</v>
      </c>
      <c r="L11" s="5" t="n">
        <v>0.0083864443</v>
      </c>
      <c r="M11" s="5" t="n">
        <v>1497.9</v>
      </c>
    </row>
    <row r="12" customFormat="false" ht="15" hidden="false" customHeight="false" outlineLevel="0" collapsed="false">
      <c r="A12" s="4" t="s">
        <v>24</v>
      </c>
      <c r="B12" s="4" t="s">
        <v>22</v>
      </c>
      <c r="C12" s="4" t="s">
        <v>23</v>
      </c>
      <c r="D12" s="5" t="n">
        <v>0.9992620093</v>
      </c>
      <c r="E12" s="5" t="n">
        <v>0.9990311759</v>
      </c>
      <c r="F12" s="5" t="n">
        <v>0.9979329447</v>
      </c>
      <c r="G12" s="5" t="n">
        <v>0.9992962411</v>
      </c>
      <c r="H12" s="5" t="n">
        <v>0.9986141276</v>
      </c>
      <c r="I12" s="5" t="n">
        <v>0.9999750193</v>
      </c>
      <c r="J12" s="5" t="n">
        <v>0.0011111111</v>
      </c>
      <c r="K12" s="5" t="n">
        <v>0.0007037589</v>
      </c>
      <c r="L12" s="5" t="n">
        <v>0.0056176212</v>
      </c>
      <c r="M12" s="5" t="n">
        <v>696</v>
      </c>
    </row>
    <row r="13" customFormat="false" ht="15" hidden="false" customHeight="false" outlineLevel="0" collapsed="false">
      <c r="A13" s="4" t="s">
        <v>27</v>
      </c>
      <c r="B13" s="4" t="s">
        <v>16</v>
      </c>
      <c r="C13" s="4" t="s">
        <v>28</v>
      </c>
      <c r="D13" s="5" t="n">
        <v>0.9969921413</v>
      </c>
      <c r="E13" s="5" t="n">
        <v>0.9988473204</v>
      </c>
      <c r="F13" s="5" t="n">
        <v>0.9993240716</v>
      </c>
      <c r="G13" s="5" t="n">
        <v>0.9994055049</v>
      </c>
      <c r="H13" s="5" t="n">
        <v>0.9993647866</v>
      </c>
      <c r="I13" s="5" t="n">
        <v>0.997959172</v>
      </c>
      <c r="J13" s="5" t="n">
        <v>0.0066145956</v>
      </c>
      <c r="K13" s="5" t="n">
        <v>0.0005944951</v>
      </c>
      <c r="L13" s="5" t="n">
        <v>0.0001576296</v>
      </c>
      <c r="M13" s="5" t="n">
        <v>64.9</v>
      </c>
    </row>
    <row r="14" customFormat="false" ht="15" hidden="false" customHeight="false" outlineLevel="0" collapsed="false">
      <c r="A14" s="4" t="s">
        <v>27</v>
      </c>
      <c r="B14" s="4" t="s">
        <v>18</v>
      </c>
      <c r="C14" s="4" t="s">
        <v>29</v>
      </c>
      <c r="D14" s="5" t="n">
        <v>0.9999394361</v>
      </c>
      <c r="E14" s="5" t="n">
        <v>0.9998840599</v>
      </c>
      <c r="F14" s="5" t="n">
        <v>0.9999685138</v>
      </c>
      <c r="G14" s="5" t="n">
        <v>0.9999036955</v>
      </c>
      <c r="H14" s="5" t="n">
        <v>0.9999361036</v>
      </c>
      <c r="I14" s="5" t="n">
        <v>0.9998189345</v>
      </c>
      <c r="J14" s="5" t="n">
        <v>0.0003080771</v>
      </c>
      <c r="K14" s="5" t="n">
        <v>9.63045E-005</v>
      </c>
      <c r="L14" s="5" t="n">
        <v>9.89427E-005</v>
      </c>
      <c r="M14" s="5" t="n">
        <v>564.2</v>
      </c>
    </row>
    <row r="15" customFormat="false" ht="15" hidden="false" customHeight="false" outlineLevel="0" collapsed="false">
      <c r="A15" s="4" t="s">
        <v>27</v>
      </c>
      <c r="B15" s="4" t="s">
        <v>20</v>
      </c>
      <c r="C15" s="4" t="s">
        <v>26</v>
      </c>
      <c r="D15" s="5" t="n">
        <v>0.999939434</v>
      </c>
      <c r="E15" s="5" t="n">
        <v>0.9998991825</v>
      </c>
      <c r="F15" s="5" t="n">
        <v>0.9999907391</v>
      </c>
      <c r="G15" s="5" t="n">
        <v>0.9998981395</v>
      </c>
      <c r="H15" s="5" t="n">
        <v>0.9999444371</v>
      </c>
      <c r="I15" s="5" t="n">
        <v>0.9999980155</v>
      </c>
      <c r="J15" s="5" t="n">
        <v>9.06109E-005</v>
      </c>
      <c r="K15" s="5" t="n">
        <v>0.0001018605</v>
      </c>
      <c r="L15" s="5" t="n">
        <v>0.0038285853</v>
      </c>
      <c r="M15" s="5" t="n">
        <v>4698</v>
      </c>
    </row>
    <row r="16" customFormat="false" ht="15" hidden="false" customHeight="false" outlineLevel="0" collapsed="false">
      <c r="A16" s="4" t="s">
        <v>27</v>
      </c>
      <c r="B16" s="4" t="s">
        <v>22</v>
      </c>
      <c r="C16" s="4" t="s">
        <v>30</v>
      </c>
      <c r="D16" s="5" t="n">
        <v>0.9999577883</v>
      </c>
      <c r="E16" s="5" t="n">
        <v>0.9999227066</v>
      </c>
      <c r="F16" s="5" t="n">
        <v>0.9999888872</v>
      </c>
      <c r="G16" s="5" t="n">
        <v>0.9999259196</v>
      </c>
      <c r="H16" s="5" t="n">
        <v>0.9999574024</v>
      </c>
      <c r="I16" s="5" t="n">
        <v>0.9999998463</v>
      </c>
      <c r="J16" s="5" t="n">
        <v>0.0001087331</v>
      </c>
      <c r="K16" s="5" t="n">
        <v>7.40804E-005</v>
      </c>
      <c r="L16" s="5" t="n">
        <v>0.0036735649</v>
      </c>
      <c r="M16" s="5" t="n">
        <v>849.4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11</v>
      </c>
      <c r="H4" s="3" t="s">
        <v>12</v>
      </c>
      <c r="I4" s="3" t="s">
        <v>13</v>
      </c>
    </row>
    <row r="5" customFormat="false" ht="15" hidden="false" customHeight="false" outlineLevel="0" collapsed="false">
      <c r="A5" s="4" t="s">
        <v>27</v>
      </c>
      <c r="B5" s="4" t="s">
        <v>37</v>
      </c>
      <c r="C5" s="5" t="n">
        <v>1</v>
      </c>
      <c r="D5" s="5" t="n">
        <v>0</v>
      </c>
      <c r="E5" s="5" t="n">
        <v>0.9999</v>
      </c>
      <c r="F5" s="5" t="n">
        <v>1</v>
      </c>
      <c r="G5" s="5" t="n">
        <v>0.0007</v>
      </c>
      <c r="H5" s="5" t="n">
        <v>0</v>
      </c>
      <c r="I5" s="5" t="n">
        <v>0.141</v>
      </c>
    </row>
    <row r="6" customFormat="false" ht="15" hidden="false" customHeight="false" outlineLevel="0" collapsed="false">
      <c r="A6" s="4" t="s">
        <v>27</v>
      </c>
      <c r="B6" s="4" t="s">
        <v>38</v>
      </c>
      <c r="C6" s="5" t="n">
        <v>1</v>
      </c>
      <c r="D6" s="5" t="n">
        <v>0</v>
      </c>
      <c r="E6" s="5" t="n">
        <v>1</v>
      </c>
      <c r="F6" s="5" t="n">
        <v>1</v>
      </c>
      <c r="G6" s="5" t="n">
        <v>0</v>
      </c>
      <c r="H6" s="5" t="n">
        <v>0</v>
      </c>
      <c r="I6" s="5" t="n">
        <v>0.116</v>
      </c>
    </row>
    <row r="7" customFormat="false" ht="15" hidden="false" customHeight="false" outlineLevel="0" collapsed="false">
      <c r="A7" s="4" t="s">
        <v>27</v>
      </c>
      <c r="B7" s="4" t="s">
        <v>39</v>
      </c>
      <c r="C7" s="5" t="n">
        <v>1</v>
      </c>
      <c r="D7" s="5" t="n">
        <v>0</v>
      </c>
      <c r="E7" s="5" t="n">
        <v>1</v>
      </c>
      <c r="F7" s="5" t="n">
        <v>1</v>
      </c>
      <c r="G7" s="5" t="n">
        <v>0</v>
      </c>
      <c r="H7" s="5" t="n">
        <v>0</v>
      </c>
      <c r="I7" s="5" t="n">
        <v>0.129</v>
      </c>
    </row>
    <row r="8" customFormat="false" ht="15" hidden="false" customHeight="false" outlineLevel="0" collapsed="false">
      <c r="A8" s="4" t="s">
        <v>24</v>
      </c>
      <c r="B8" s="4" t="s">
        <v>37</v>
      </c>
      <c r="C8" s="5" t="n">
        <v>0.9999</v>
      </c>
      <c r="D8" s="5" t="n">
        <v>0.0001</v>
      </c>
      <c r="E8" s="5" t="n">
        <v>0.9998</v>
      </c>
      <c r="F8" s="5" t="n">
        <v>1</v>
      </c>
      <c r="G8" s="5" t="n">
        <v>0.0002</v>
      </c>
      <c r="H8" s="5" t="n">
        <v>0</v>
      </c>
      <c r="I8" s="5" t="n">
        <v>0.175</v>
      </c>
    </row>
    <row r="9" customFormat="false" ht="15" hidden="false" customHeight="false" outlineLevel="0" collapsed="false">
      <c r="A9" s="4" t="s">
        <v>24</v>
      </c>
      <c r="B9" s="4" t="s">
        <v>38</v>
      </c>
      <c r="C9" s="5" t="n">
        <v>0.9818</v>
      </c>
      <c r="D9" s="5" t="n">
        <v>0.0364</v>
      </c>
      <c r="E9" s="5" t="n">
        <v>1</v>
      </c>
      <c r="F9" s="5" t="n">
        <v>1</v>
      </c>
      <c r="G9" s="5" t="n">
        <v>0</v>
      </c>
      <c r="H9" s="5" t="n">
        <v>0</v>
      </c>
      <c r="I9" s="5" t="n">
        <v>0.163</v>
      </c>
    </row>
    <row r="10" customFormat="false" ht="15" hidden="false" customHeight="false" outlineLevel="0" collapsed="false">
      <c r="A10" s="4" t="s">
        <v>24</v>
      </c>
      <c r="B10" s="4" t="s">
        <v>39</v>
      </c>
      <c r="C10" s="5" t="n">
        <v>0.9999</v>
      </c>
      <c r="D10" s="5" t="n">
        <v>0.0001</v>
      </c>
      <c r="E10" s="5" t="n">
        <v>0.9995</v>
      </c>
      <c r="F10" s="5" t="n">
        <v>1</v>
      </c>
      <c r="G10" s="5" t="n">
        <v>0</v>
      </c>
      <c r="H10" s="5" t="n">
        <v>0.0009</v>
      </c>
      <c r="I10" s="5" t="n">
        <v>0.409</v>
      </c>
    </row>
    <row r="11" customFormat="false" ht="15" hidden="false" customHeight="false" outlineLevel="0" collapsed="false">
      <c r="A11" s="4" t="s">
        <v>15</v>
      </c>
      <c r="B11" s="4" t="s">
        <v>37</v>
      </c>
      <c r="C11" s="5" t="n">
        <v>0.9999</v>
      </c>
      <c r="D11" s="5" t="n">
        <v>0.0002</v>
      </c>
      <c r="E11" s="5" t="n">
        <v>0.9934</v>
      </c>
      <c r="F11" s="5" t="n">
        <v>1</v>
      </c>
      <c r="G11" s="5" t="n">
        <v>0.0018</v>
      </c>
      <c r="H11" s="5" t="n">
        <v>0</v>
      </c>
      <c r="I11" s="5" t="n">
        <v>0.211</v>
      </c>
    </row>
    <row r="12" customFormat="false" ht="15" hidden="false" customHeight="false" outlineLevel="0" collapsed="false">
      <c r="A12" s="4" t="s">
        <v>15</v>
      </c>
      <c r="B12" s="4" t="s">
        <v>38</v>
      </c>
      <c r="C12" s="5" t="n">
        <v>0.9999</v>
      </c>
      <c r="D12" s="5" t="n">
        <v>0.0002</v>
      </c>
      <c r="E12" s="5" t="n">
        <v>0.9999</v>
      </c>
      <c r="F12" s="5" t="n">
        <v>1</v>
      </c>
      <c r="G12" s="5" t="n">
        <v>0</v>
      </c>
      <c r="H12" s="5" t="n">
        <v>0.0002</v>
      </c>
      <c r="I12" s="5" t="n">
        <v>0.087</v>
      </c>
    </row>
    <row r="13" customFormat="false" ht="15" hidden="false" customHeight="false" outlineLevel="0" collapsed="false">
      <c r="A13" s="4" t="s">
        <v>15</v>
      </c>
      <c r="B13" s="4" t="s">
        <v>39</v>
      </c>
      <c r="C13" s="5" t="n">
        <v>0.9999</v>
      </c>
      <c r="D13" s="5" t="n">
        <v>0.0002</v>
      </c>
      <c r="E13" s="5" t="n">
        <v>0.9998</v>
      </c>
      <c r="F13" s="5" t="n">
        <v>1</v>
      </c>
      <c r="G13" s="5" t="n">
        <v>0</v>
      </c>
      <c r="H13" s="5" t="n">
        <v>0.0003</v>
      </c>
      <c r="I13" s="5" t="n">
        <v>0.091</v>
      </c>
    </row>
    <row r="15" customFormat="false" ht="15" hidden="false" customHeight="false" outlineLevel="0" collapsed="false">
      <c r="A15" s="6" t="s">
        <v>40</v>
      </c>
    </row>
    <row r="16" customFormat="false" ht="15" hidden="false" customHeight="false" outlineLevel="0" collapsed="false">
      <c r="A16" s="7" t="s">
        <v>41</v>
      </c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7" t="s">
        <v>42</v>
      </c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7" t="s">
        <v>43</v>
      </c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7" t="s">
        <v>44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7" t="s">
        <v>45</v>
      </c>
      <c r="B20" s="7"/>
      <c r="C20" s="7"/>
      <c r="D20" s="7"/>
      <c r="E20" s="7"/>
      <c r="F20" s="7"/>
      <c r="G20" s="7"/>
      <c r="H20" s="7"/>
      <c r="I20" s="7"/>
    </row>
  </sheetData>
  <mergeCells count="7">
    <mergeCell ref="A1:H1"/>
    <mergeCell ref="A2:H2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46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</row>
    <row r="5" customFormat="false" ht="15" hidden="false" customHeight="false" outlineLevel="0" collapsed="false">
      <c r="A5" s="4" t="s">
        <v>53</v>
      </c>
      <c r="B5" s="4" t="str">
        <f aca="false">INDEX(ML_Results!$B$5:$B$16,MATCH(1,(ML_Results!$A$5:$A$16="unsw")*(ML_Results!$H$5:$H$16=C5),0))</f>
        <v>xgboost</v>
      </c>
      <c r="C5" s="5" t="n">
        <f aca="false">SUMPRODUCT(MAX((ML_Results!$A$5:$A$16="unsw")*ML_Results!$H$5:$H$16))</f>
        <v>0.9777350396</v>
      </c>
      <c r="D5" s="4" t="str">
        <f aca="false">INDEX(DL_Results!$B$5:$B$13,MATCH(1,(DL_Results!$A$5:$A$13="unsw")*(DL_Results!$E$5:$E$13=E5),0))</f>
        <v>1D-CNN</v>
      </c>
      <c r="E5" s="5" t="n">
        <f aca="false">SUMPRODUCT(MAX((DL_Results!$A$5:$A$13="unsw")*DL_Results!$E$5:$E$13))</f>
        <v>0.9999</v>
      </c>
      <c r="F5" s="4" t="str">
        <f aca="false">IF(C5&gt;=E5,"ML — "&amp;B5,"DL — "&amp;D5)</f>
        <v>DL — 1D-CNN</v>
      </c>
    </row>
    <row r="6" customFormat="false" ht="15" hidden="false" customHeight="false" outlineLevel="0" collapsed="false">
      <c r="A6" s="4" t="s">
        <v>54</v>
      </c>
      <c r="B6" s="4" t="str">
        <f aca="false">INDEX(ML_Results!$B$5:$B$16,MATCH(1,(ML_Results!$A$5:$A$16="ton")*(ML_Results!$H$5:$H$16=C6),0))</f>
        <v>random_forest</v>
      </c>
      <c r="C6" s="5" t="n">
        <f aca="false">SUMPRODUCT(MAX((ML_Results!$A$5:$A$16="ton")*ML_Results!$H$5:$H$16))</f>
        <v>0.9987381834</v>
      </c>
      <c r="D6" s="4" t="str">
        <f aca="false">INDEX(DL_Results!$B$5:$B$13,MATCH(1,(DL_Results!$A$5:$A$13="ton")*(DL_Results!$E$5:$E$13=E6),0))</f>
        <v>1D-CNN</v>
      </c>
      <c r="E6" s="5" t="n">
        <f aca="false">SUMPRODUCT(MAX((DL_Results!$A$5:$A$13="ton")*DL_Results!$E$5:$E$13))</f>
        <v>1</v>
      </c>
      <c r="F6" s="4" t="str">
        <f aca="false">IF(C6&gt;=E6,"ML — "&amp;B6,"DL — "&amp;D6)</f>
        <v>DL — 1D-CNN</v>
      </c>
    </row>
    <row r="7" customFormat="false" ht="15" hidden="false" customHeight="false" outlineLevel="0" collapsed="false">
      <c r="A7" s="4" t="s">
        <v>55</v>
      </c>
      <c r="B7" s="4" t="str">
        <f aca="false">INDEX(ML_Results!$B$5:$B$16,MATCH(1,(ML_Results!$A$5:$A$16="nbaiot")*(ML_Results!$H$5:$H$16=C7),0))</f>
        <v>xgboost</v>
      </c>
      <c r="C7" s="5" t="n">
        <f aca="false">SUMPRODUCT(MAX((ML_Results!$A$5:$A$16="nbaiot")*ML_Results!$H$5:$H$16))</f>
        <v>0.9999574024</v>
      </c>
      <c r="D7" s="4" t="str">
        <f aca="false">INDEX(DL_Results!$B$5:$B$13,MATCH(1,(DL_Results!$A$5:$A$13="nbaiot")*(DL_Results!$E$5:$E$13=E7),0))</f>
        <v>1D-CNN</v>
      </c>
      <c r="E7" s="5" t="n">
        <f aca="false">SUMPRODUCT(MAX((DL_Results!$A$5:$A$13="nbaiot")*DL_Results!$E$5:$E$13))</f>
        <v>1</v>
      </c>
      <c r="F7" s="4" t="str">
        <f aca="false">IF(C7&gt;=E7,"ML — "&amp;B7,"DL — "&amp;D7)</f>
        <v>DL — 1D-CNN</v>
      </c>
    </row>
    <row r="9" customFormat="false" ht="15" hidden="false" customHeight="false" outlineLevel="0" collapsed="false">
      <c r="A9" s="7" t="s">
        <v>56</v>
      </c>
      <c r="B9" s="7"/>
      <c r="C9" s="7"/>
      <c r="D9" s="7"/>
      <c r="E9" s="7"/>
      <c r="F9" s="7"/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8" t="s">
        <v>57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9" t="s">
        <v>58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6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13</v>
      </c>
      <c r="K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10" t="s">
        <v>17</v>
      </c>
      <c r="D5" s="5" t="n">
        <v>0.9616070046</v>
      </c>
      <c r="E5" s="5" t="n">
        <v>0.3952349825</v>
      </c>
      <c r="F5" s="5" t="n">
        <v>0.5437835262</v>
      </c>
      <c r="G5" s="5" t="n">
        <v>0.3829179253</v>
      </c>
      <c r="H5" s="5" t="n">
        <v>0.5355589133</v>
      </c>
      <c r="I5" s="11" t="n">
        <v>0.0008904259</v>
      </c>
      <c r="J5" s="11" t="n">
        <v>0.0001753904</v>
      </c>
      <c r="K5" s="12" t="n">
        <v>2499.8</v>
      </c>
    </row>
    <row r="6" customFormat="false" ht="15" hidden="false" customHeight="false" outlineLevel="0" collapsed="false">
      <c r="A6" s="4" t="s">
        <v>15</v>
      </c>
      <c r="B6" s="4" t="s">
        <v>18</v>
      </c>
      <c r="C6" s="10" t="s">
        <v>25</v>
      </c>
      <c r="D6" s="5" t="n">
        <v>0.9781893771</v>
      </c>
      <c r="E6" s="5" t="n">
        <v>0.5486141902</v>
      </c>
      <c r="F6" s="5" t="n">
        <v>0.595172113</v>
      </c>
      <c r="G6" s="5" t="n">
        <v>0.5510903361</v>
      </c>
      <c r="H6" s="5" t="n">
        <v>0.7712174581</v>
      </c>
      <c r="I6" s="11" t="n">
        <v>0.0023450546</v>
      </c>
      <c r="J6" s="11" t="n">
        <v>6.8909E-005</v>
      </c>
      <c r="K6" s="12" t="n">
        <v>596.1</v>
      </c>
    </row>
    <row r="7" customFormat="false" ht="15" hidden="false" customHeight="false" outlineLevel="0" collapsed="false">
      <c r="A7" s="4" t="s">
        <v>15</v>
      </c>
      <c r="B7" s="4" t="s">
        <v>20</v>
      </c>
      <c r="C7" s="10" t="s">
        <v>64</v>
      </c>
      <c r="D7" s="5" t="n">
        <v>0.9800187398</v>
      </c>
      <c r="E7" s="5" t="n">
        <v>0.5718043217</v>
      </c>
      <c r="F7" s="5" t="n">
        <v>0.6260690761</v>
      </c>
      <c r="G7" s="5" t="n">
        <v>0.5769006688</v>
      </c>
      <c r="H7" s="5" t="n">
        <v>0.7993132266</v>
      </c>
      <c r="I7" s="11" t="n">
        <v>0.0009595493</v>
      </c>
      <c r="J7" s="11" t="n">
        <v>0.0065673603</v>
      </c>
      <c r="K7" s="12" t="n">
        <v>1424.7</v>
      </c>
    </row>
    <row r="8" customFormat="false" ht="23.85" hidden="false" customHeight="false" outlineLevel="0" collapsed="false">
      <c r="A8" s="4" t="s">
        <v>15</v>
      </c>
      <c r="B8" s="4" t="s">
        <v>22</v>
      </c>
      <c r="C8" s="10" t="s">
        <v>65</v>
      </c>
      <c r="D8" s="5" t="n">
        <v>0.9798455146</v>
      </c>
      <c r="E8" s="5" t="n">
        <v>0.5841012289</v>
      </c>
      <c r="F8" s="5" t="n">
        <v>0.6168444993</v>
      </c>
      <c r="G8" s="5" t="n">
        <v>0.5863757125</v>
      </c>
      <c r="H8" s="5" t="n">
        <v>0.7933867332</v>
      </c>
      <c r="I8" s="11" t="n">
        <v>0.0003095049</v>
      </c>
      <c r="J8" s="11" t="n">
        <v>0.0450197163</v>
      </c>
      <c r="K8" s="12" t="n">
        <v>2048.9</v>
      </c>
    </row>
    <row r="9" customFormat="false" ht="15" hidden="false" customHeight="false" outlineLevel="0" collapsed="false">
      <c r="A9" s="4" t="s">
        <v>24</v>
      </c>
      <c r="B9" s="4" t="s">
        <v>16</v>
      </c>
      <c r="C9" s="10" t="s">
        <v>17</v>
      </c>
      <c r="D9" s="5" t="n">
        <v>0.8885223615</v>
      </c>
      <c r="E9" s="5" t="n">
        <v>0.7649076109</v>
      </c>
      <c r="F9" s="5" t="n">
        <v>0.832998059</v>
      </c>
      <c r="G9" s="5" t="n">
        <v>0.7740488649</v>
      </c>
      <c r="H9" s="5" t="n">
        <v>0.8249146665</v>
      </c>
      <c r="I9" s="11" t="n">
        <v>0.0021340056</v>
      </c>
      <c r="J9" s="11" t="n">
        <v>0.0002939252</v>
      </c>
      <c r="K9" s="12" t="n">
        <v>467.4</v>
      </c>
    </row>
    <row r="10" customFormat="false" ht="15" hidden="false" customHeight="false" outlineLevel="0" collapsed="false">
      <c r="A10" s="4" t="s">
        <v>24</v>
      </c>
      <c r="B10" s="4" t="s">
        <v>18</v>
      </c>
      <c r="C10" s="10" t="s">
        <v>25</v>
      </c>
      <c r="D10" s="5" t="n">
        <v>0.9910234111</v>
      </c>
      <c r="E10" s="5" t="n">
        <v>0.9486467559</v>
      </c>
      <c r="F10" s="5" t="n">
        <v>0.9720808115</v>
      </c>
      <c r="G10" s="5" t="n">
        <v>0.9583111106</v>
      </c>
      <c r="H10" s="5" t="n">
        <v>0.9843558849</v>
      </c>
      <c r="I10" s="11" t="n">
        <v>0.0002229257</v>
      </c>
      <c r="J10" s="11" t="n">
        <v>0.0001849521</v>
      </c>
      <c r="K10" s="12" t="n">
        <v>46.9</v>
      </c>
    </row>
    <row r="11" customFormat="false" ht="15" hidden="false" customHeight="false" outlineLevel="0" collapsed="false">
      <c r="A11" s="4" t="s">
        <v>24</v>
      </c>
      <c r="B11" s="4" t="s">
        <v>20</v>
      </c>
      <c r="C11" s="10" t="s">
        <v>64</v>
      </c>
      <c r="D11" s="5" t="n">
        <v>0.9922429477</v>
      </c>
      <c r="E11" s="5" t="n">
        <v>0.9465658909</v>
      </c>
      <c r="F11" s="5" t="n">
        <v>0.9807735387</v>
      </c>
      <c r="G11" s="5" t="n">
        <v>0.959075972</v>
      </c>
      <c r="H11" s="5" t="n">
        <v>0.9873196216</v>
      </c>
      <c r="I11" s="11" t="n">
        <v>0.0002379391</v>
      </c>
      <c r="J11" s="11" t="n">
        <v>0.0118596644</v>
      </c>
      <c r="K11" s="12" t="n">
        <v>178.8</v>
      </c>
    </row>
    <row r="12" customFormat="false" ht="23.85" hidden="false" customHeight="false" outlineLevel="0" collapsed="false">
      <c r="A12" s="4" t="s">
        <v>24</v>
      </c>
      <c r="B12" s="4" t="s">
        <v>22</v>
      </c>
      <c r="C12" s="10" t="s">
        <v>65</v>
      </c>
      <c r="D12" s="5" t="n">
        <v>0.9931226134</v>
      </c>
      <c r="E12" s="5" t="n">
        <v>0.9527109334</v>
      </c>
      <c r="F12" s="5" t="n">
        <v>0.9815621222</v>
      </c>
      <c r="G12" s="5" t="n">
        <v>0.9640663133</v>
      </c>
      <c r="H12" s="5" t="n">
        <v>0.9885708875</v>
      </c>
      <c r="I12" s="11" t="n">
        <v>0.0003325127</v>
      </c>
      <c r="J12" s="11" t="n">
        <v>0.0555710957</v>
      </c>
      <c r="K12" s="12" t="n">
        <v>417.1</v>
      </c>
    </row>
    <row r="13" customFormat="false" ht="15" hidden="false" customHeight="false" outlineLevel="0" collapsed="false">
      <c r="A13" s="4" t="s">
        <v>27</v>
      </c>
      <c r="B13" s="4" t="s">
        <v>16</v>
      </c>
      <c r="C13" s="10" t="s">
        <v>17</v>
      </c>
      <c r="D13" s="5" t="n">
        <v>0.8972522432</v>
      </c>
      <c r="E13" s="5" t="n">
        <v>0.7393493366</v>
      </c>
      <c r="F13" s="5" t="n">
        <v>0.7581812181</v>
      </c>
      <c r="G13" s="5" t="n">
        <v>0.7433052921</v>
      </c>
      <c r="H13" s="5" t="n">
        <v>0.7960026697</v>
      </c>
      <c r="I13" s="11" t="n">
        <v>0.0015543982</v>
      </c>
      <c r="J13" s="11" t="n">
        <v>0.0007398056</v>
      </c>
      <c r="K13" s="12" t="n">
        <v>1104.3</v>
      </c>
    </row>
    <row r="14" customFormat="false" ht="15" hidden="false" customHeight="false" outlineLevel="0" collapsed="false">
      <c r="A14" s="4" t="s">
        <v>27</v>
      </c>
      <c r="B14" s="4" t="s">
        <v>18</v>
      </c>
      <c r="C14" s="10" t="s">
        <v>25</v>
      </c>
      <c r="D14" s="5" t="n">
        <v>0.9997325884</v>
      </c>
      <c r="E14" s="5" t="n">
        <v>0.9329404417</v>
      </c>
      <c r="F14" s="5" t="n">
        <v>0.9765941764</v>
      </c>
      <c r="G14" s="5" t="n">
        <v>0.9505960684</v>
      </c>
      <c r="H14" s="5" t="n">
        <v>0.8785457632</v>
      </c>
      <c r="I14" s="11" t="n">
        <v>3.92266E-005</v>
      </c>
      <c r="J14" s="11" t="n">
        <v>0.0001818458</v>
      </c>
      <c r="K14" s="12" t="n">
        <v>194.5</v>
      </c>
    </row>
    <row r="15" customFormat="false" ht="15" hidden="false" customHeight="false" outlineLevel="0" collapsed="false">
      <c r="A15" s="4" t="s">
        <v>27</v>
      </c>
      <c r="B15" s="4" t="s">
        <v>20</v>
      </c>
      <c r="C15" s="10" t="s">
        <v>64</v>
      </c>
      <c r="D15" s="5" t="n">
        <v>0.999827211</v>
      </c>
      <c r="E15" s="5" t="n">
        <v>0.9579204065</v>
      </c>
      <c r="F15" s="5" t="n">
        <v>0.9482460493</v>
      </c>
      <c r="G15" s="5" t="n">
        <v>0.9519151402</v>
      </c>
      <c r="H15" s="5" t="n">
        <v>0.8787755503</v>
      </c>
      <c r="I15" s="11" t="n">
        <v>2.75845E-005</v>
      </c>
      <c r="J15" s="11" t="n">
        <v>0.0090027574</v>
      </c>
      <c r="K15" s="12" t="n">
        <v>636.7</v>
      </c>
    </row>
    <row r="16" customFormat="false" ht="23.85" hidden="false" customHeight="false" outlineLevel="0" collapsed="false">
      <c r="A16" s="4" t="s">
        <v>27</v>
      </c>
      <c r="B16" s="4" t="s">
        <v>22</v>
      </c>
      <c r="C16" s="10" t="s">
        <v>65</v>
      </c>
      <c r="D16" s="5" t="n">
        <v>0.9998889213</v>
      </c>
      <c r="E16" s="5" t="n">
        <v>0.9749378358</v>
      </c>
      <c r="F16" s="5" t="n">
        <v>0.9941186391</v>
      </c>
      <c r="G16" s="5" t="n">
        <v>0.9838598592</v>
      </c>
      <c r="H16" s="5" t="n">
        <v>0.8788204735</v>
      </c>
      <c r="I16" s="11" t="n">
        <v>1.76954E-005</v>
      </c>
      <c r="J16" s="11" t="n">
        <v>0.0351010957</v>
      </c>
      <c r="K16" s="12" t="n">
        <v>462.4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0"/>
  </cols>
  <sheetData>
    <row r="1" customFormat="false" ht="17.35" hidden="false" customHeight="false" outlineLevel="0" collapsed="false">
      <c r="A1" s="8" t="s">
        <v>66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67</v>
      </c>
      <c r="B2" s="9"/>
      <c r="C2" s="9"/>
      <c r="D2" s="9"/>
      <c r="E2" s="9"/>
      <c r="F2" s="9"/>
    </row>
    <row r="4" customFormat="false" ht="15" hidden="false" customHeight="false" outlineLevel="0" collapsed="false">
      <c r="A4" s="3" t="s">
        <v>2</v>
      </c>
      <c r="B4" s="3" t="s">
        <v>68</v>
      </c>
      <c r="C4" s="3" t="s">
        <v>69</v>
      </c>
      <c r="D4" s="3" t="s">
        <v>11</v>
      </c>
      <c r="E4" s="3" t="s">
        <v>12</v>
      </c>
      <c r="F4" s="3" t="s">
        <v>36</v>
      </c>
    </row>
    <row r="5" customFormat="false" ht="15" hidden="false" customHeight="false" outlineLevel="0" collapsed="false">
      <c r="A5" s="4" t="s">
        <v>15</v>
      </c>
      <c r="B5" s="4" t="s">
        <v>70</v>
      </c>
      <c r="C5" s="4" t="n">
        <v>401</v>
      </c>
      <c r="D5" s="5" t="n">
        <v>0.0007</v>
      </c>
      <c r="E5" s="5" t="n">
        <v>0.8703</v>
      </c>
      <c r="F5" s="5" t="n">
        <v>0.9925</v>
      </c>
    </row>
    <row r="6" customFormat="false" ht="15" hidden="false" customHeight="false" outlineLevel="0" collapsed="false">
      <c r="A6" s="4" t="s">
        <v>15</v>
      </c>
      <c r="B6" s="4" t="s">
        <v>71</v>
      </c>
      <c r="C6" s="4" t="n">
        <v>349</v>
      </c>
      <c r="D6" s="5" t="n">
        <v>0.0008</v>
      </c>
      <c r="E6" s="5" t="n">
        <v>0.851</v>
      </c>
      <c r="F6" s="5" t="n">
        <v>0.9926</v>
      </c>
    </row>
    <row r="7" customFormat="false" ht="15" hidden="false" customHeight="false" outlineLevel="0" collapsed="false">
      <c r="A7" s="4" t="s">
        <v>15</v>
      </c>
      <c r="B7" s="4" t="s">
        <v>72</v>
      </c>
      <c r="C7" s="4" t="n">
        <v>2453</v>
      </c>
      <c r="D7" s="5" t="n">
        <v>0.0087</v>
      </c>
      <c r="E7" s="5" t="n">
        <v>0.3049</v>
      </c>
      <c r="F7" s="5" t="n">
        <v>0.9932</v>
      </c>
    </row>
    <row r="8" customFormat="false" ht="15" hidden="false" customHeight="false" outlineLevel="0" collapsed="false">
      <c r="A8" s="4" t="s">
        <v>15</v>
      </c>
      <c r="B8" s="4" t="s">
        <v>73</v>
      </c>
      <c r="C8" s="4" t="n">
        <v>6679</v>
      </c>
      <c r="D8" s="5" t="n">
        <v>0.0027</v>
      </c>
      <c r="E8" s="5" t="n">
        <v>0.4159</v>
      </c>
      <c r="F8" s="5" t="n">
        <v>0.9964</v>
      </c>
    </row>
    <row r="9" customFormat="false" ht="15" hidden="false" customHeight="false" outlineLevel="0" collapsed="false">
      <c r="A9" s="4" t="s">
        <v>15</v>
      </c>
      <c r="B9" s="4" t="s">
        <v>74</v>
      </c>
      <c r="C9" s="4" t="n">
        <v>3637</v>
      </c>
      <c r="D9" s="5" t="n">
        <v>0.0025</v>
      </c>
      <c r="E9" s="5" t="n">
        <v>0.4284</v>
      </c>
      <c r="F9" s="5" t="n">
        <v>0.9957</v>
      </c>
    </row>
    <row r="10" customFormat="false" ht="15" hidden="false" customHeight="false" outlineLevel="0" collapsed="false">
      <c r="A10" s="4" t="s">
        <v>15</v>
      </c>
      <c r="B10" s="4" t="s">
        <v>75</v>
      </c>
      <c r="C10" s="4" t="n">
        <v>32322</v>
      </c>
      <c r="D10" s="5" t="n">
        <v>0.0002</v>
      </c>
      <c r="E10" s="5" t="n">
        <v>0.014</v>
      </c>
      <c r="F10" s="5" t="n">
        <v>0.9999</v>
      </c>
    </row>
    <row r="11" customFormat="false" ht="15" hidden="false" customHeight="false" outlineLevel="0" collapsed="false">
      <c r="A11" s="4" t="s">
        <v>15</v>
      </c>
      <c r="B11" s="4" t="s">
        <v>76</v>
      </c>
      <c r="C11" s="4" t="n">
        <v>332815</v>
      </c>
      <c r="D11" s="5" t="n">
        <v>0.0281</v>
      </c>
      <c r="E11" s="5" t="n">
        <v>0.003</v>
      </c>
      <c r="F11" s="5" t="n">
        <v>0.9998</v>
      </c>
    </row>
    <row r="12" customFormat="false" ht="15" hidden="false" customHeight="false" outlineLevel="0" collapsed="false">
      <c r="A12" s="4" t="s">
        <v>15</v>
      </c>
      <c r="B12" s="4" t="s">
        <v>77</v>
      </c>
      <c r="C12" s="4" t="n">
        <v>2098</v>
      </c>
      <c r="D12" s="5" t="n">
        <v>0.0005</v>
      </c>
      <c r="E12" s="5" t="n">
        <v>0.2173</v>
      </c>
      <c r="F12" s="5" t="n">
        <v>0.9983</v>
      </c>
    </row>
    <row r="13" customFormat="false" ht="15" hidden="false" customHeight="false" outlineLevel="0" collapsed="false">
      <c r="A13" s="4" t="s">
        <v>15</v>
      </c>
      <c r="B13" s="4" t="s">
        <v>78</v>
      </c>
      <c r="C13" s="4" t="n">
        <v>227</v>
      </c>
      <c r="D13" s="5" t="n">
        <v>0.0005</v>
      </c>
      <c r="E13" s="5" t="n">
        <v>0.1498</v>
      </c>
      <c r="F13" s="5" t="n">
        <v>0.9997</v>
      </c>
    </row>
    <row r="14" customFormat="false" ht="15" hidden="false" customHeight="false" outlineLevel="0" collapsed="false">
      <c r="A14" s="4" t="s">
        <v>15</v>
      </c>
      <c r="B14" s="4" t="s">
        <v>79</v>
      </c>
      <c r="C14" s="4" t="n">
        <v>26</v>
      </c>
      <c r="D14" s="5" t="n">
        <v>0.0001</v>
      </c>
      <c r="E14" s="5" t="n">
        <v>0.5769</v>
      </c>
      <c r="F14" s="5" t="n">
        <v>0.9976</v>
      </c>
    </row>
    <row r="15" customFormat="false" ht="15" hidden="false" customHeight="false" outlineLevel="0" collapsed="false">
      <c r="A15" s="4" t="s">
        <v>24</v>
      </c>
      <c r="B15" s="4" t="s">
        <v>80</v>
      </c>
      <c r="C15" s="4" t="n">
        <v>2806</v>
      </c>
      <c r="D15" s="5" t="n">
        <v>0</v>
      </c>
      <c r="E15" s="5" t="n">
        <v>0.0004</v>
      </c>
      <c r="F15" s="5" t="n">
        <v>1</v>
      </c>
    </row>
    <row r="16" customFormat="false" ht="15" hidden="false" customHeight="false" outlineLevel="0" collapsed="false">
      <c r="A16" s="4" t="s">
        <v>24</v>
      </c>
      <c r="B16" s="4" t="s">
        <v>81</v>
      </c>
      <c r="C16" s="4" t="n">
        <v>2998</v>
      </c>
      <c r="D16" s="5" t="n">
        <v>0.0006</v>
      </c>
      <c r="E16" s="5" t="n">
        <v>0.0167</v>
      </c>
      <c r="F16" s="5" t="n">
        <v>0.9999</v>
      </c>
    </row>
    <row r="17" customFormat="false" ht="15" hidden="false" customHeight="false" outlineLevel="0" collapsed="false">
      <c r="A17" s="4" t="s">
        <v>24</v>
      </c>
      <c r="B17" s="4" t="s">
        <v>82</v>
      </c>
      <c r="C17" s="4" t="n">
        <v>2201</v>
      </c>
      <c r="D17" s="5" t="n">
        <v>0.0006</v>
      </c>
      <c r="E17" s="5" t="n">
        <v>0.0236</v>
      </c>
      <c r="F17" s="5" t="n">
        <v>0.9999</v>
      </c>
    </row>
    <row r="18" customFormat="false" ht="15" hidden="false" customHeight="false" outlineLevel="0" collapsed="false">
      <c r="A18" s="4" t="s">
        <v>24</v>
      </c>
      <c r="B18" s="4" t="s">
        <v>83</v>
      </c>
      <c r="C18" s="4" t="n">
        <v>2994</v>
      </c>
      <c r="D18" s="5" t="n">
        <v>0.001</v>
      </c>
      <c r="E18" s="5" t="n">
        <v>0.0321</v>
      </c>
      <c r="F18" s="5" t="n">
        <v>0.9997</v>
      </c>
    </row>
    <row r="19" customFormat="false" ht="15" hidden="false" customHeight="false" outlineLevel="0" collapsed="false">
      <c r="A19" s="4" t="s">
        <v>24</v>
      </c>
      <c r="B19" s="4" t="s">
        <v>84</v>
      </c>
      <c r="C19" s="4" t="n">
        <v>156</v>
      </c>
      <c r="D19" s="5" t="n">
        <v>0.0018</v>
      </c>
      <c r="E19" s="5" t="n">
        <v>0.0705</v>
      </c>
      <c r="F19" s="5" t="n">
        <v>0.9986</v>
      </c>
    </row>
    <row r="20" customFormat="false" ht="15" hidden="false" customHeight="false" outlineLevel="0" collapsed="false">
      <c r="A20" s="4" t="s">
        <v>24</v>
      </c>
      <c r="B20" s="4" t="s">
        <v>85</v>
      </c>
      <c r="C20" s="4" t="n">
        <v>28777</v>
      </c>
      <c r="D20" s="5" t="n">
        <v>0.0009</v>
      </c>
      <c r="E20" s="5" t="n">
        <v>0.001</v>
      </c>
      <c r="F20" s="5" t="n">
        <v>1</v>
      </c>
    </row>
    <row r="21" customFormat="false" ht="15" hidden="false" customHeight="false" outlineLevel="0" collapsed="false">
      <c r="A21" s="4" t="s">
        <v>24</v>
      </c>
      <c r="B21" s="4" t="s">
        <v>86</v>
      </c>
      <c r="C21" s="4" t="n">
        <v>2977</v>
      </c>
      <c r="D21" s="5" t="n">
        <v>0.0002</v>
      </c>
      <c r="E21" s="5" t="n">
        <v>0.0141</v>
      </c>
      <c r="F21" s="5" t="n">
        <v>0.9999</v>
      </c>
    </row>
    <row r="22" customFormat="false" ht="15" hidden="false" customHeight="false" outlineLevel="0" collapsed="false">
      <c r="A22" s="4" t="s">
        <v>24</v>
      </c>
      <c r="B22" s="4" t="s">
        <v>87</v>
      </c>
      <c r="C22" s="4" t="n">
        <v>2140</v>
      </c>
      <c r="D22" s="5" t="n">
        <v>0.0001</v>
      </c>
      <c r="E22" s="5" t="n">
        <v>0.0005</v>
      </c>
      <c r="F22" s="5" t="n">
        <v>1</v>
      </c>
    </row>
    <row r="23" customFormat="false" ht="15" hidden="false" customHeight="false" outlineLevel="0" collapsed="false">
      <c r="A23" s="4" t="s">
        <v>24</v>
      </c>
      <c r="B23" s="4" t="s">
        <v>88</v>
      </c>
      <c r="C23" s="4" t="n">
        <v>2792</v>
      </c>
      <c r="D23" s="5" t="n">
        <v>0.0007</v>
      </c>
      <c r="E23" s="5" t="n">
        <v>0.0118</v>
      </c>
      <c r="F23" s="5" t="n">
        <v>1</v>
      </c>
    </row>
    <row r="24" customFormat="false" ht="15" hidden="false" customHeight="false" outlineLevel="0" collapsed="false">
      <c r="A24" s="4" t="s">
        <v>24</v>
      </c>
      <c r="B24" s="4" t="s">
        <v>89</v>
      </c>
      <c r="C24" s="4" t="n">
        <v>2178</v>
      </c>
      <c r="D24" s="5" t="n">
        <v>0.0018</v>
      </c>
      <c r="E24" s="5" t="n">
        <v>0.0138</v>
      </c>
      <c r="F24" s="5" t="n">
        <v>0.9999</v>
      </c>
    </row>
    <row r="25" customFormat="false" ht="15" hidden="false" customHeight="false" outlineLevel="0" collapsed="false">
      <c r="A25" s="4" t="s">
        <v>27</v>
      </c>
      <c r="B25" s="4" t="s">
        <v>90</v>
      </c>
      <c r="C25" s="4" t="n">
        <v>55181</v>
      </c>
      <c r="D25" s="5" t="n">
        <v>0</v>
      </c>
      <c r="E25" s="5" t="n">
        <v>0.0001</v>
      </c>
      <c r="F25" s="5" t="n">
        <v>1</v>
      </c>
    </row>
    <row r="26" customFormat="false" ht="15" hidden="false" customHeight="false" outlineLevel="0" collapsed="false">
      <c r="A26" s="4" t="s">
        <v>27</v>
      </c>
      <c r="B26" s="4" t="s">
        <v>91</v>
      </c>
      <c r="C26" s="4" t="n">
        <v>67500</v>
      </c>
      <c r="D26" s="5" t="n">
        <v>0</v>
      </c>
      <c r="E26" s="5" t="n">
        <v>0.0001</v>
      </c>
      <c r="F26" s="5" t="n">
        <v>1</v>
      </c>
    </row>
    <row r="27" customFormat="false" ht="15" hidden="false" customHeight="false" outlineLevel="0" collapsed="false">
      <c r="A27" s="4" t="s">
        <v>27</v>
      </c>
      <c r="B27" s="4" t="s">
        <v>92</v>
      </c>
      <c r="C27" s="4" t="n">
        <v>52500</v>
      </c>
      <c r="D27" s="5" t="n">
        <v>0</v>
      </c>
      <c r="E27" s="5" t="n">
        <v>0.0002</v>
      </c>
      <c r="F27" s="5" t="n">
        <v>1</v>
      </c>
    </row>
    <row r="28" customFormat="false" ht="15" hidden="false" customHeight="false" outlineLevel="0" collapsed="false">
      <c r="A28" s="4" t="s">
        <v>27</v>
      </c>
      <c r="B28" s="4" t="s">
        <v>93</v>
      </c>
      <c r="C28" s="4" t="n">
        <v>39268</v>
      </c>
      <c r="D28" s="5" t="n">
        <v>0</v>
      </c>
      <c r="E28" s="5" t="n">
        <v>0.0002</v>
      </c>
      <c r="F28" s="5" t="n">
        <v>1</v>
      </c>
    </row>
    <row r="29" customFormat="false" ht="15" hidden="false" customHeight="false" outlineLevel="0" collapsed="false">
      <c r="A29" s="4" t="s">
        <v>27</v>
      </c>
      <c r="B29" s="4" t="s">
        <v>94</v>
      </c>
      <c r="C29" s="4" t="n">
        <v>38267</v>
      </c>
      <c r="D29" s="5" t="n">
        <v>0</v>
      </c>
      <c r="E29" s="5" t="n">
        <v>0.0002</v>
      </c>
      <c r="F29" s="5" t="n">
        <v>1</v>
      </c>
    </row>
    <row r="30" customFormat="false" ht="15" hidden="false" customHeight="false" outlineLevel="0" collapsed="false">
      <c r="A30" s="13" t="s">
        <v>27</v>
      </c>
      <c r="B30" s="13" t="s">
        <v>95</v>
      </c>
      <c r="C30" s="13" t="n">
        <v>67500</v>
      </c>
      <c r="D30" s="14" t="n">
        <v>0</v>
      </c>
      <c r="E30" s="14" t="n">
        <v>0.999</v>
      </c>
      <c r="F30" s="14" t="n">
        <v>0.9361</v>
      </c>
    </row>
    <row r="31" customFormat="false" ht="15" hidden="false" customHeight="false" outlineLevel="0" collapsed="false">
      <c r="A31" s="13" t="s">
        <v>27</v>
      </c>
      <c r="B31" s="13" t="s">
        <v>96</v>
      </c>
      <c r="C31" s="13" t="n">
        <v>67500</v>
      </c>
      <c r="D31" s="14" t="n">
        <v>0.1278</v>
      </c>
      <c r="E31" s="14" t="n">
        <v>0.0002</v>
      </c>
      <c r="F31" s="14" t="n">
        <v>0.9361</v>
      </c>
    </row>
    <row r="32" customFormat="false" ht="15" hidden="false" customHeight="false" outlineLevel="0" collapsed="false">
      <c r="A32" s="4" t="s">
        <v>27</v>
      </c>
      <c r="B32" s="4" t="s">
        <v>97</v>
      </c>
      <c r="C32" s="4" t="n">
        <v>52500</v>
      </c>
      <c r="D32" s="5" t="n">
        <v>0</v>
      </c>
      <c r="E32" s="5" t="n">
        <v>0.0001</v>
      </c>
      <c r="F32" s="5" t="n">
        <v>1</v>
      </c>
    </row>
    <row r="33" customFormat="false" ht="15" hidden="false" customHeight="false" outlineLevel="0" collapsed="false">
      <c r="A33" s="4" t="s">
        <v>27</v>
      </c>
      <c r="B33" s="4" t="s">
        <v>98</v>
      </c>
      <c r="C33" s="4" t="n">
        <v>49919</v>
      </c>
      <c r="D33" s="5" t="n">
        <v>0</v>
      </c>
      <c r="E33" s="5" t="n">
        <v>0</v>
      </c>
      <c r="F33" s="5" t="n">
        <v>1</v>
      </c>
    </row>
    <row r="34" customFormat="false" ht="15" hidden="false" customHeight="false" outlineLevel="0" collapsed="false">
      <c r="A34" s="4" t="s">
        <v>27</v>
      </c>
      <c r="B34" s="4" t="s">
        <v>99</v>
      </c>
      <c r="C34" s="4" t="n">
        <v>52500</v>
      </c>
      <c r="D34" s="5" t="n">
        <v>0</v>
      </c>
      <c r="E34" s="5" t="n">
        <v>0.0001</v>
      </c>
      <c r="F34" s="5" t="n">
        <v>1</v>
      </c>
    </row>
    <row r="35" customFormat="false" ht="15" hidden="false" customHeight="false" outlineLevel="0" collapsed="false">
      <c r="A35" s="4" t="s">
        <v>27</v>
      </c>
      <c r="B35" s="4" t="s">
        <v>100</v>
      </c>
      <c r="C35" s="4" t="n">
        <v>52500</v>
      </c>
      <c r="D35" s="5" t="n">
        <v>0</v>
      </c>
      <c r="E35" s="5" t="n">
        <v>0.0001</v>
      </c>
      <c r="F35" s="5" t="n">
        <v>1</v>
      </c>
    </row>
    <row r="37" customFormat="false" ht="15" hidden="false" customHeight="false" outlineLevel="0" collapsed="false">
      <c r="A37" s="15" t="s">
        <v>101</v>
      </c>
      <c r="B37" s="15"/>
      <c r="C37" s="15"/>
      <c r="D37" s="15"/>
      <c r="E37" s="15"/>
      <c r="F37" s="15"/>
    </row>
  </sheetData>
  <mergeCells count="3">
    <mergeCell ref="A1:F1"/>
    <mergeCell ref="A2:F2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2"/>
  </cols>
  <sheetData>
    <row r="1" customFormat="false" ht="17.35" hidden="false" customHeight="false" outlineLevel="0" collapsed="false">
      <c r="A1" s="8" t="s">
        <v>102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9" t="s">
        <v>103</v>
      </c>
      <c r="B2" s="9"/>
      <c r="C2" s="9"/>
      <c r="D2" s="9"/>
      <c r="E2" s="9"/>
      <c r="F2" s="9"/>
      <c r="G2" s="9"/>
    </row>
    <row r="4" customFormat="false" ht="15" hidden="false" customHeight="false" outlineLevel="0" collapsed="false">
      <c r="A4" s="3" t="s">
        <v>68</v>
      </c>
      <c r="B4" s="3" t="s">
        <v>104</v>
      </c>
      <c r="C4" s="3" t="s">
        <v>105</v>
      </c>
      <c r="D4" s="3" t="s">
        <v>106</v>
      </c>
      <c r="E4" s="3" t="s">
        <v>107</v>
      </c>
    </row>
    <row r="5" customFormat="false" ht="15" hidden="false" customHeight="false" outlineLevel="0" collapsed="false">
      <c r="A5" s="10" t="s">
        <v>73</v>
      </c>
      <c r="B5" s="16" t="n">
        <v>0.84</v>
      </c>
      <c r="C5" s="16" t="n">
        <v>0.54</v>
      </c>
      <c r="D5" s="16" t="n">
        <v>0.66</v>
      </c>
      <c r="E5" s="4" t="n">
        <v>6679</v>
      </c>
    </row>
    <row r="6" customFormat="false" ht="15" hidden="false" customHeight="false" outlineLevel="0" collapsed="false">
      <c r="A6" s="10" t="s">
        <v>74</v>
      </c>
      <c r="B6" s="16" t="n">
        <v>0.69</v>
      </c>
      <c r="C6" s="16" t="n">
        <v>0.57</v>
      </c>
      <c r="D6" s="16" t="n">
        <v>0.62</v>
      </c>
      <c r="E6" s="4" t="n">
        <v>3637</v>
      </c>
    </row>
    <row r="7" customFormat="false" ht="15" hidden="false" customHeight="false" outlineLevel="0" collapsed="false">
      <c r="A7" s="10" t="s">
        <v>75</v>
      </c>
      <c r="B7" s="16" t="n">
        <v>1</v>
      </c>
      <c r="C7" s="16" t="n">
        <v>0.99</v>
      </c>
      <c r="D7" s="16" t="n">
        <v>0.99</v>
      </c>
      <c r="E7" s="4" t="n">
        <v>32322</v>
      </c>
    </row>
    <row r="8" customFormat="false" ht="15" hidden="false" customHeight="false" outlineLevel="0" collapsed="false">
      <c r="A8" s="10" t="s">
        <v>76</v>
      </c>
      <c r="B8" s="16" t="n">
        <v>1</v>
      </c>
      <c r="C8" s="16" t="n">
        <v>1</v>
      </c>
      <c r="D8" s="16" t="n">
        <v>1</v>
      </c>
      <c r="E8" s="4" t="n">
        <v>332815</v>
      </c>
    </row>
    <row r="9" customFormat="false" ht="35.05" hidden="false" customHeight="false" outlineLevel="0" collapsed="false">
      <c r="A9" s="10" t="s">
        <v>108</v>
      </c>
      <c r="B9" s="16" t="n">
        <v>0.57</v>
      </c>
      <c r="C9" s="16" t="n">
        <v>0.89</v>
      </c>
      <c r="D9" s="16" t="n">
        <v>0.7</v>
      </c>
      <c r="E9" s="4" t="n">
        <v>5554</v>
      </c>
    </row>
    <row r="11" customFormat="false" ht="15" hidden="false" customHeight="false" outlineLevel="0" collapsed="false">
      <c r="A11" s="17" t="s">
        <v>109</v>
      </c>
    </row>
    <row r="12" customFormat="false" ht="15" hidden="false" customHeight="false" outlineLevel="0" collapsed="false">
      <c r="A12" s="18" t="s">
        <v>110</v>
      </c>
      <c r="B12" s="18"/>
      <c r="C12" s="18"/>
      <c r="D12" s="18"/>
      <c r="E12" s="18"/>
    </row>
  </sheetData>
  <mergeCells count="3">
    <mergeCell ref="A1:G1"/>
    <mergeCell ref="A2:G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8" t="s">
        <v>111</v>
      </c>
      <c r="B1" s="8"/>
    </row>
    <row r="2" customFormat="false" ht="15" hidden="false" customHeight="false" outlineLevel="0" collapsed="false">
      <c r="A2" s="9" t="s">
        <v>112</v>
      </c>
      <c r="B2" s="9"/>
    </row>
    <row r="4" customFormat="false" ht="60" hidden="false" customHeight="true" outlineLevel="0" collapsed="false">
      <c r="A4" s="19" t="s">
        <v>113</v>
      </c>
      <c r="B4" s="20" t="s">
        <v>114</v>
      </c>
    </row>
    <row r="5" customFormat="false" ht="60" hidden="false" customHeight="true" outlineLevel="0" collapsed="false">
      <c r="A5" s="19" t="s">
        <v>115</v>
      </c>
      <c r="B5" s="20" t="s">
        <v>116</v>
      </c>
    </row>
    <row r="6" customFormat="false" ht="60" hidden="false" customHeight="true" outlineLevel="0" collapsed="false">
      <c r="A6" s="19" t="s">
        <v>117</v>
      </c>
      <c r="B6" s="20" t="s">
        <v>118</v>
      </c>
    </row>
    <row r="7" customFormat="false" ht="60" hidden="false" customHeight="true" outlineLevel="0" collapsed="false">
      <c r="A7" s="19" t="s">
        <v>119</v>
      </c>
      <c r="B7" s="20" t="s">
        <v>120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2026-09-04T08:50:28Z</dcterms:created>
  <dc:creator>openpyxl</dc:creator>
  <dc:description/>
  <dc:language>en-US</dc:language>
  <cp:lastModifiedBy/>
  <dcterms:modified xsi:type="dcterms:W3CDTF">2026-09-04T08:50:38Z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